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auxis-my.sharepoint.com/personal/orussi_auxis_com/Documents/Documentos/bahamar_migration_scripts/"/>
    </mc:Choice>
  </mc:AlternateContent>
  <xr:revisionPtr revIDLastSave="176" documentId="8_{083EF028-D124-42F4-969A-2873941BB27D}" xr6:coauthVersionLast="47" xr6:coauthVersionMax="47" xr10:uidLastSave="{DDFF8194-0A23-4748-A87A-13C57ED00C32}"/>
  <bookViews>
    <workbookView xWindow="810" yWindow="-120" windowWidth="19800" windowHeight="11760" xr2:uid="{087CB6D3-FA40-422C-8398-0BF9F7FDAAE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5" i="1" l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<sst xmlns="http://schemas.openxmlformats.org/spreadsheetml/2006/main" count="75" uniqueCount="69">
  <si>
    <t>task</t>
  </si>
  <si>
    <t>add id to opera</t>
  </si>
  <si>
    <t>add id to check_fix</t>
  </si>
  <si>
    <t>add id to email_folders</t>
  </si>
  <si>
    <t>add id to email_log</t>
  </si>
  <si>
    <t>add id to IBS</t>
  </si>
  <si>
    <t>add id to IBS_Codes</t>
  </si>
  <si>
    <t>add id to mapping_table</t>
  </si>
  <si>
    <t>TASK</t>
  </si>
  <si>
    <t>add id to opera_duplicates</t>
  </si>
  <si>
    <t>add id to opera_fix</t>
  </si>
  <si>
    <t>add id to symphony</t>
  </si>
  <si>
    <t>add id to symphony_codes</t>
  </si>
  <si>
    <t>add id to stage.IBS</t>
  </si>
  <si>
    <t>add id to stage.mapping_table</t>
  </si>
  <si>
    <t>add id to stage.opera</t>
  </si>
  <si>
    <t>add id to stage.symphony</t>
  </si>
  <si>
    <t>modify view udv_CTF_final</t>
  </si>
  <si>
    <t>modify view udv_CTF_Originating</t>
  </si>
  <si>
    <t>modify view udv_CTF_receiving</t>
  </si>
  <si>
    <t>modify view udv_Data_consistency</t>
  </si>
  <si>
    <t>modify view udv_department</t>
  </si>
  <si>
    <t>modify view udv_GH_Final</t>
  </si>
  <si>
    <t>modify view udv_GH_originating</t>
  </si>
  <si>
    <t>modify view udv_GH_receaving</t>
  </si>
  <si>
    <t>days</t>
  </si>
  <si>
    <t>modify views</t>
  </si>
  <si>
    <t>modify store procedures</t>
  </si>
  <si>
    <t>testing</t>
  </si>
  <si>
    <t>21/07/2023</t>
  </si>
  <si>
    <t>25/08/2023</t>
  </si>
  <si>
    <t>14/09/2023</t>
  </si>
  <si>
    <t>Add Id to tables</t>
  </si>
  <si>
    <t>deadline</t>
  </si>
  <si>
    <t>28/09/2023</t>
  </si>
  <si>
    <t>status</t>
  </si>
  <si>
    <t>✅ </t>
  </si>
  <si>
    <t>modify view udv_IBS_Final</t>
  </si>
  <si>
    <t>modify view udv_IBS_Originating</t>
  </si>
  <si>
    <t>modify view udv_IBS_Receiving</t>
  </si>
  <si>
    <t>modify view udv_MappingTable</t>
  </si>
  <si>
    <t>modify view udv_Opera</t>
  </si>
  <si>
    <t>modify view udv_RSW_Final</t>
  </si>
  <si>
    <t>modify view udv_RSW_Originating</t>
  </si>
  <si>
    <t>modify view udv_RSW_Originating_2</t>
  </si>
  <si>
    <t>modify view udv_RSW_Receiving</t>
  </si>
  <si>
    <t>modify view udv_SLS_Final</t>
  </si>
  <si>
    <t>modify view udv_SLS_Originating</t>
  </si>
  <si>
    <t>modify view udv_SLS_Receiving</t>
  </si>
  <si>
    <t>modify view udv_Source_GH</t>
  </si>
  <si>
    <t>modify view udv_Target_GH</t>
  </si>
  <si>
    <t>modify view udv_ThirdParty_Final</t>
  </si>
  <si>
    <t>modify view udv_ThirdParty_Originating</t>
  </si>
  <si>
    <t>modify view udv_ThirdParty_Receiving</t>
  </si>
  <si>
    <t>modify stored procedure usp_CheckFix_Add</t>
  </si>
  <si>
    <t>modify stored procedure usp_CleanSymphony</t>
  </si>
  <si>
    <t>modify stored procedure usp_IBS</t>
  </si>
  <si>
    <t>modify stored procedure usp_MappingTable</t>
  </si>
  <si>
    <t>modify stored procedure usp_Opera</t>
  </si>
  <si>
    <t>modify stored procedure usp_OperaFix_Add</t>
  </si>
  <si>
    <t>modify stored procedure usp_Report_CTF</t>
  </si>
  <si>
    <t>modify stored procedure usp_Report_GH</t>
  </si>
  <si>
    <t>modify stored procedure usp_Report_IBS</t>
  </si>
  <si>
    <t>modify stored procedure usp_Report_RSW</t>
  </si>
  <si>
    <t>modify stored procedure usp_Report_SLS</t>
  </si>
  <si>
    <t>modify stored procedure usp_Report_ThirdParty</t>
  </si>
  <si>
    <t>modify stored procedure usp_Symphony</t>
  </si>
  <si>
    <t>modify stored procedure usp_VAT_GetBrand</t>
  </si>
  <si>
    <t>Accumulative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</si>
</sst>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9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81BECF-FC9B-4142-9129-01A2A68C5988}" name="tasks" displayName="tasks" ref="A1:C55" totalsRowShown="0">
  <autoFilter ref="A1:C55" xr:uid="{0681BECF-FC9B-4142-9129-01A2A68C5988}"/>
  <tableColumns count="3">
    <tableColumn id="1" xr3:uid="{737CA5DB-8FA3-47DE-B2B2-C3FEE988B59B}" name="TASK"/>
    <tableColumn id="2" xr3:uid="{3723647B-BDCD-4B51-AB55-E418BE9B24B7}" name="status"/>
    <tableColumn id="3" xr3:uid="{780984B9-4E7D-457B-9496-4A72B3D95742}" name="Accumulativ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AFFA76-C09A-4CB3-B02E-73FC179B9582}" name="Table3" displayName="Table3" ref="A1:C5" totalsRowShown="0">
  <autoFilter ref="A1:C5" xr:uid="{F7AFFA76-C09A-4CB3-B02E-73FC179B9582}"/>
  <tableColumns count="3">
    <tableColumn id="1" xr3:uid="{957C4DBA-6A59-4C19-9DD6-F6B6E34D1856}" name="task"/>
    <tableColumn id="2" xr3:uid="{7F186146-4844-44DB-8CCA-572AED9D52D8}" name="days"/>
    <tableColumn id="3" xr3:uid="{009FF280-D37A-4561-B72F-EA4C4271D05A}" name="deadlin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9A34-7B18-4E2E-BF3C-0B8722668B34}">
  <dimension ref="A1:C55"/>
  <sheetViews>
    <sheetView tabSelected="1" workbookViewId="0">
      <selection activeCell="A8" sqref="A8"/>
    </sheetView>
  </sheetViews>
  <sheetFormatPr defaultRowHeight="15" x14ac:dyDescent="0.25"/>
  <cols>
    <col min="1" max="1" width="49" customWidth="1"/>
    <col min="3" max="3" width="20" customWidth="1"/>
  </cols>
  <sheetData>
    <row r="1" spans="1:3" x14ac:dyDescent="0.25">
      <c r="A1" t="s">
        <v>8</v>
      </c>
      <c r="B1" t="s">
        <v>35</v>
      </c>
      <c r="C1" t="s">
        <v>68</v>
      </c>
    </row>
    <row r="2" spans="1:3" ht="15.75" x14ac:dyDescent="0.25">
      <c r="A2" t="s">
        <v>1</v>
      </c>
      <c r="B2" s="2" t="s">
        <v>36</v>
      </c>
      <c r="C2" t="str">
        <f>CONCATENATE(ROUND(COUNTA(B2:B2)*100/ROWS(tasks[]),2),"%")</f>
        <v>1.85%</v>
      </c>
    </row>
    <row r="3" spans="1:3" x14ac:dyDescent="0.25">
      <c r="A3" t="s">
        <v>2</v>
      </c>
      <c r="C3" t="str">
        <f>CONCATENATE(ROUND(COUNTA(B2:B3)*100/ROWS(tasks[]),2),"%")</f>
        <v>1.85%</v>
      </c>
    </row>
    <row r="4" spans="1:3" x14ac:dyDescent="0.25">
      <c r="A4" t="s">
        <v>3</v>
      </c>
      <c r="C4" t="str">
        <f>CONCATENATE(ROUND(COUNTA(B2:B4)*100/ROWS(tasks[]),2),"%")</f>
        <v>1.85%</v>
      </c>
    </row>
    <row r="5" spans="1:3" x14ac:dyDescent="0.25">
      <c r="A5" t="s">
        <v>4</v>
      </c>
      <c r="C5" t="str">
        <f>CONCATENATE(ROUND(COUNTA(B2:B5)*100/ROWS(tasks[]),2),"%")</f>
        <v>1.85%</v>
      </c>
    </row>
    <row r="6" spans="1:3" ht="15.75" x14ac:dyDescent="0.25">
      <c r="A6" t="s">
        <v>5</v>
      </c>
      <c r="B6" s="2" t="s">
        <v>36</v>
      </c>
      <c r="C6" t="str">
        <f>CONCATENATE(ROUND(COUNTA(B2:B6)*100/ROWS(tasks[]),2),"%")</f>
        <v>3.7%</v>
      </c>
    </row>
    <row r="7" spans="1:3" x14ac:dyDescent="0.25">
      <c r="A7" t="s">
        <v>6</v>
      </c>
      <c r="C7" t="str">
        <f>CONCATENATE(ROUND(COUNTA(B2:B7)*100/ROWS(tasks[]),2),"%")</f>
        <v>3.7%</v>
      </c>
    </row>
    <row r="8" spans="1:3" x14ac:dyDescent="0.25">
      <c r="A8" t="s">
        <v>7</v>
      </c>
      <c r="C8" t="str">
        <f>CONCATENATE(ROUND(COUNTA(B2:B8)*100/ROWS(tasks[]),2),"%")</f>
        <v>3.7%</v>
      </c>
    </row>
    <row r="9" spans="1:3" x14ac:dyDescent="0.25">
      <c r="A9" t="s">
        <v>9</v>
      </c>
      <c r="C9" t="str">
        <f>CONCATENATE(ROUND(COUNTA(B2:B9)*100/ROWS(tasks[]),2),"%")</f>
        <v>3.7%</v>
      </c>
    </row>
    <row r="10" spans="1:3" x14ac:dyDescent="0.25">
      <c r="A10" t="s">
        <v>10</v>
      </c>
      <c r="C10" t="str">
        <f>CONCATENATE(ROUND(COUNTA(B2:B10)*100/ROWS(tasks[]),2),"%")</f>
        <v>3.7%</v>
      </c>
    </row>
    <row r="11" spans="1:3" ht="15.75" x14ac:dyDescent="0.25">
      <c r="A11" t="s">
        <v>11</v>
      </c>
      <c r="B11" s="2" t="s">
        <v>36</v>
      </c>
      <c r="C11" t="str">
        <f>CONCATENATE(ROUND(COUNTA(B2:B11)*100/ROWS(tasks[]),2),"%")</f>
        <v>5.56%</v>
      </c>
    </row>
    <row r="12" spans="1:3" x14ac:dyDescent="0.25">
      <c r="A12" t="s">
        <v>12</v>
      </c>
      <c r="C12" t="str">
        <f>CONCATENATE(ROUND(COUNTA(B2:B12)*100/ROWS(tasks[]),2),"%")</f>
        <v>5.56%</v>
      </c>
    </row>
    <row r="13" spans="1:3" ht="15.75" x14ac:dyDescent="0.25">
      <c r="A13" t="s">
        <v>13</v>
      </c>
      <c r="B13" s="2" t="s">
        <v>36</v>
      </c>
      <c r="C13" t="str">
        <f>CONCATENATE(ROUND(COUNTA(B2:B13)*100/ROWS(tasks[]),2),"%")</f>
        <v>7.41%</v>
      </c>
    </row>
    <row r="14" spans="1:3" ht="15.75" x14ac:dyDescent="0.25">
      <c r="A14" t="s">
        <v>14</v>
      </c>
      <c r="B14" s="2" t="s">
        <v>36</v>
      </c>
      <c r="C14" t="str">
        <f>CONCATENATE(ROUND(COUNTA(B2:B14)*100/ROWS(tasks[]),2),"%")</f>
        <v>9.26%</v>
      </c>
    </row>
    <row r="15" spans="1:3" ht="15.75" x14ac:dyDescent="0.25">
      <c r="A15" t="s">
        <v>15</v>
      </c>
      <c r="B15" s="2" t="s">
        <v>36</v>
      </c>
      <c r="C15" t="str">
        <f>CONCATENATE(ROUND(COUNTA(B2:B15)*100/ROWS(tasks[]),2),"%")</f>
        <v>11.11%</v>
      </c>
    </row>
    <row r="16" spans="1:3" ht="15.75" x14ac:dyDescent="0.25">
      <c r="A16" t="s">
        <v>16</v>
      </c>
      <c r="B16" s="2" t="s">
        <v>36</v>
      </c>
      <c r="C16" t="str">
        <f>CONCATENATE(ROUND(COUNTA(B2:B16)*100/ROWS(tasks[]),2),"%")</f>
        <v>12.96%</v>
      </c>
    </row>
    <row r="17" spans="1:3" x14ac:dyDescent="0.25">
      <c r="A17" t="s">
        <v>17</v>
      </c>
      <c r="C17" t="str">
        <f>CONCATENATE(ROUND(COUNTA(B2:B17)*100/ROWS(tasks[]),2),"%")</f>
        <v>12.96%</v>
      </c>
    </row>
    <row r="18" spans="1:3" x14ac:dyDescent="0.25">
      <c r="A18" t="s">
        <v>18</v>
      </c>
      <c r="C18" t="str">
        <f>CONCATENATE(ROUND(COUNTA(B2:B18)*100/ROWS(tasks[]),2),"%")</f>
        <v>12.96%</v>
      </c>
    </row>
    <row r="19" spans="1:3" x14ac:dyDescent="0.25">
      <c r="A19" t="s">
        <v>19</v>
      </c>
      <c r="C19" t="str">
        <f>CONCATENATE(ROUND(COUNTA(B2:B19)*100/ROWS(tasks[]),2),"%")</f>
        <v>12.96%</v>
      </c>
    </row>
    <row r="20" spans="1:3" x14ac:dyDescent="0.25">
      <c r="A20" t="s">
        <v>20</v>
      </c>
      <c r="C20" t="str">
        <f>CONCATENATE(ROUND(COUNTA(B2:B20)*100/ROWS(tasks[]),2),"%")</f>
        <v>12.96%</v>
      </c>
    </row>
    <row r="21" spans="1:3" x14ac:dyDescent="0.25">
      <c r="A21" t="s">
        <v>21</v>
      </c>
      <c r="C21" t="str">
        <f>CONCATENATE(ROUND(COUNTA(B2:B21)*100/ROWS(tasks[]),2),"%")</f>
        <v>12.96%</v>
      </c>
    </row>
    <row r="22" spans="1:3" x14ac:dyDescent="0.25">
      <c r="A22" t="s">
        <v>22</v>
      </c>
      <c r="C22" t="str">
        <f>CONCATENATE(ROUND(COUNTA(B2:B22)*100/ROWS(tasks[]),2),"%")</f>
        <v>12.96%</v>
      </c>
    </row>
    <row r="23" spans="1:3" x14ac:dyDescent="0.25">
      <c r="A23" t="s">
        <v>23</v>
      </c>
      <c r="C23" t="str">
        <f>CONCATENATE(ROUND(COUNTA(B2:B23)*100/ROWS(tasks[]),2),"%")</f>
        <v>12.96%</v>
      </c>
    </row>
    <row r="24" spans="1:3" x14ac:dyDescent="0.25">
      <c r="A24" t="s">
        <v>24</v>
      </c>
      <c r="C24" t="str">
        <f>CONCATENATE(ROUND(COUNTA(B2:B24)*100/ROWS(tasks[]),2),"%")</f>
        <v>12.96%</v>
      </c>
    </row>
    <row r="25" spans="1:3" x14ac:dyDescent="0.25">
      <c r="A25" t="s">
        <v>37</v>
      </c>
      <c r="C25" t="str">
        <f>CONCATENATE(ROUND(COUNTA(B2:B25)*100/ROWS(tasks[]),2),"%")</f>
        <v>12.96%</v>
      </c>
    </row>
    <row r="26" spans="1:3" x14ac:dyDescent="0.25">
      <c r="A26" t="s">
        <v>38</v>
      </c>
      <c r="C26" t="str">
        <f>CONCATENATE(ROUND(COUNTA(B2:B26)*100/ROWS(tasks[]),2),"%")</f>
        <v>12.96%</v>
      </c>
    </row>
    <row r="27" spans="1:3" x14ac:dyDescent="0.25">
      <c r="A27" t="s">
        <v>39</v>
      </c>
      <c r="C27" t="str">
        <f>CONCATENATE(ROUND(COUNTA(B2:B27)*100/ROWS(tasks[]),2),"%")</f>
        <v>12.96%</v>
      </c>
    </row>
    <row r="28" spans="1:3" x14ac:dyDescent="0.25">
      <c r="A28" t="s">
        <v>40</v>
      </c>
      <c r="C28" t="str">
        <f>CONCATENATE(ROUND(COUNTA(B2:B28)*100/ROWS(tasks[]),2),"%")</f>
        <v>12.96%</v>
      </c>
    </row>
    <row r="29" spans="1:3" x14ac:dyDescent="0.25">
      <c r="A29" t="s">
        <v>41</v>
      </c>
      <c r="C29" t="str">
        <f>CONCATENATE(ROUND(COUNTA(B2:B29)*100/ROWS(tasks[]),2),"%")</f>
        <v>12.96%</v>
      </c>
    </row>
    <row r="30" spans="1:3" x14ac:dyDescent="0.25">
      <c r="A30" t="s">
        <v>42</v>
      </c>
      <c r="C30" t="str">
        <f>CONCATENATE(ROUND(COUNTA(B2:B30)*100/ROWS(tasks[]),2),"%")</f>
        <v>12.96%</v>
      </c>
    </row>
    <row r="31" spans="1:3" x14ac:dyDescent="0.25">
      <c r="A31" t="s">
        <v>43</v>
      </c>
      <c r="C31" t="str">
        <f>CONCATENATE(ROUND(COUNTA(B2:B31)*100/ROWS(tasks[]),2),"%")</f>
        <v>12.96%</v>
      </c>
    </row>
    <row r="32" spans="1:3" x14ac:dyDescent="0.25">
      <c r="A32" t="s">
        <v>44</v>
      </c>
      <c r="C32" t="str">
        <f>CONCATENATE(ROUND(COUNTA(B2:B32)*100/ROWS(tasks[]),2),"%")</f>
        <v>12.96%</v>
      </c>
    </row>
    <row r="33" spans="1:3" x14ac:dyDescent="0.25">
      <c r="A33" t="s">
        <v>45</v>
      </c>
      <c r="C33" t="str">
        <f>CONCATENATE(ROUND(COUNTA(B2:B33)*100/ROWS(tasks[]),2),"%")</f>
        <v>12.96%</v>
      </c>
    </row>
    <row r="34" spans="1:3" x14ac:dyDescent="0.25">
      <c r="A34" t="s">
        <v>46</v>
      </c>
      <c r="C34" t="str">
        <f>CONCATENATE(ROUND(COUNTA(B2:B34)*100/ROWS(tasks[]),2),"%")</f>
        <v>12.96%</v>
      </c>
    </row>
    <row r="35" spans="1:3" x14ac:dyDescent="0.25">
      <c r="A35" t="s">
        <v>47</v>
      </c>
      <c r="C35" t="str">
        <f>CONCATENATE(ROUND(COUNTA(B2:B35)*100/ROWS(tasks[]),2),"%")</f>
        <v>12.96%</v>
      </c>
    </row>
    <row r="36" spans="1:3" x14ac:dyDescent="0.25">
      <c r="A36" t="s">
        <v>48</v>
      </c>
      <c r="C36" t="str">
        <f>CONCATENATE(ROUND(COUNTA(B2:B36)*100/ROWS(tasks[]),2),"%")</f>
        <v>12.96%</v>
      </c>
    </row>
    <row r="37" spans="1:3" x14ac:dyDescent="0.25">
      <c r="A37" t="s">
        <v>49</v>
      </c>
      <c r="C37" t="str">
        <f>CONCATENATE(ROUND(COUNTA(B2:B37)*100/ROWS(tasks[]),2),"%")</f>
        <v>12.96%</v>
      </c>
    </row>
    <row r="38" spans="1:3" x14ac:dyDescent="0.25">
      <c r="A38" t="s">
        <v>50</v>
      </c>
      <c r="C38" t="str">
        <f>CONCATENATE(ROUND(COUNTA(B2:B38)*100/ROWS(tasks[]),2),"%")</f>
        <v>12.96%</v>
      </c>
    </row>
    <row r="39" spans="1:3" x14ac:dyDescent="0.25">
      <c r="A39" t="s">
        <v>51</v>
      </c>
      <c r="C39" t="str">
        <f>CONCATENATE(ROUND(COUNTA(B2:B39)*100/ROWS(tasks[]),2),"%")</f>
        <v>12.96%</v>
      </c>
    </row>
    <row r="40" spans="1:3" x14ac:dyDescent="0.25">
      <c r="A40" t="s">
        <v>52</v>
      </c>
      <c r="C40" t="str">
        <f>CONCATENATE(ROUND(COUNTA(B2:B40)*100/ROWS(tasks[]),2),"%")</f>
        <v>12.96%</v>
      </c>
    </row>
    <row r="41" spans="1:3" x14ac:dyDescent="0.25">
      <c r="A41" t="s">
        <v>53</v>
      </c>
      <c r="C41" t="str">
        <f>CONCATENATE(ROUND(COUNTA(B2:B41)*100/ROWS(tasks[]),2),"%")</f>
        <v>12.96%</v>
      </c>
    </row>
    <row r="42" spans="1:3" x14ac:dyDescent="0.25">
      <c r="A42" t="s">
        <v>54</v>
      </c>
      <c r="C42" t="str">
        <f>CONCATENATE(ROUND(COUNTA(B2:B42)*100/ROWS(tasks[]),2),"%")</f>
        <v>12.96%</v>
      </c>
    </row>
    <row r="43" spans="1:3" x14ac:dyDescent="0.25">
      <c r="A43" t="s">
        <v>55</v>
      </c>
      <c r="C43" t="str">
        <f>CONCATENATE(ROUND(COUNTA(B2:B43)*100/ROWS(tasks[]),2),"%")</f>
        <v>12.96%</v>
      </c>
    </row>
    <row r="44" spans="1:3" x14ac:dyDescent="0.25">
      <c r="A44" t="s">
        <v>56</v>
      </c>
      <c r="C44" t="str">
        <f>CONCATENATE(ROUND(COUNTA(B2:B44)*100/ROWS(tasks[]),2),"%")</f>
        <v>12.96%</v>
      </c>
    </row>
    <row r="45" spans="1:3" x14ac:dyDescent="0.25">
      <c r="A45" t="s">
        <v>57</v>
      </c>
      <c r="C45" t="str">
        <f>CONCATENATE(ROUND(COUNTA(B2:B45)*100/ROWS(tasks[]),2),"%")</f>
        <v>12.96%</v>
      </c>
    </row>
    <row r="46" spans="1:3" x14ac:dyDescent="0.25">
      <c r="A46" t="s">
        <v>58</v>
      </c>
      <c r="C46" t="str">
        <f>CONCATENATE(ROUND(COUNTA(B2:B46)*100/ROWS(tasks[]),2),"%")</f>
        <v>12.96%</v>
      </c>
    </row>
    <row r="47" spans="1:3" x14ac:dyDescent="0.25">
      <c r="A47" t="s">
        <v>59</v>
      </c>
      <c r="C47" t="str">
        <f>CONCATENATE(ROUND(COUNTA(B2:B47)*100/ROWS(tasks[]),2),"%")</f>
        <v>12.96%</v>
      </c>
    </row>
    <row r="48" spans="1:3" x14ac:dyDescent="0.25">
      <c r="A48" t="s">
        <v>60</v>
      </c>
      <c r="C48" t="str">
        <f>CONCATENATE(ROUND(COUNTA(B2:B48)*100/ROWS(tasks[]),2),"%")</f>
        <v>12.96%</v>
      </c>
    </row>
    <row r="49" spans="1:3" x14ac:dyDescent="0.25">
      <c r="A49" t="s">
        <v>61</v>
      </c>
      <c r="C49" t="str">
        <f>CONCATENATE(ROUND(COUNTA(B2:B49)*100/ROWS(tasks[]),2),"%")</f>
        <v>12.96%</v>
      </c>
    </row>
    <row r="50" spans="1:3" x14ac:dyDescent="0.25">
      <c r="A50" t="s">
        <v>62</v>
      </c>
      <c r="C50" t="str">
        <f>CONCATENATE(ROUND(COUNTA(B2:B50)*100/ROWS(tasks[]),2),"%")</f>
        <v>12.96%</v>
      </c>
    </row>
    <row r="51" spans="1:3" x14ac:dyDescent="0.25">
      <c r="A51" t="s">
        <v>63</v>
      </c>
      <c r="C51" t="str">
        <f>CONCATENATE(ROUND(COUNTA(B2:B51)*100/ROWS(tasks[]),2),"%")</f>
        <v>12.96%</v>
      </c>
    </row>
    <row r="52" spans="1:3" x14ac:dyDescent="0.25">
      <c r="A52" t="s">
        <v>64</v>
      </c>
      <c r="C52" t="str">
        <f>CONCATENATE(ROUND(COUNTA(B2:B52)*100/ROWS(tasks[]),2),"%")</f>
        <v>12.96%</v>
      </c>
    </row>
    <row r="53" spans="1:3" x14ac:dyDescent="0.25">
      <c r="A53" t="s">
        <v>65</v>
      </c>
      <c r="C53" t="str">
        <f>CONCATENATE(ROUND(COUNTA(B2:B53)*100/ROWS(tasks[]),2),"%")</f>
        <v>12.96%</v>
      </c>
    </row>
    <row r="54" spans="1:3" x14ac:dyDescent="0.25">
      <c r="A54" t="s">
        <v>66</v>
      </c>
      <c r="C54" t="str">
        <f>CONCATENATE(ROUND(COUNTA(B2:B54)*100/ROWS(tasks[]),2),"%")</f>
        <v>12.96%</v>
      </c>
    </row>
    <row r="55" spans="1:3" x14ac:dyDescent="0.25">
      <c r="A55" t="s">
        <v>67</v>
      </c>
      <c r="C55" t="str">
        <f>CONCATENATE(ROUND(COUNTA(B2:B55)*100/ROWS(tasks[]),2),"%")</f>
        <v>12.96%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F3AB1-2795-48B9-9A69-1D5ED766D30B}">
  <dimension ref="A1:C5"/>
  <sheetViews>
    <sheetView workbookViewId="0">
      <selection activeCell="D8" sqref="D8"/>
    </sheetView>
  </sheetViews>
  <sheetFormatPr defaultRowHeight="15" x14ac:dyDescent="0.25"/>
  <cols>
    <col min="1" max="1" width="22.140625" customWidth="1"/>
    <col min="3" max="3" width="20.5703125" customWidth="1"/>
  </cols>
  <sheetData>
    <row r="1" spans="1:3" x14ac:dyDescent="0.25">
      <c r="A1" t="s">
        <v>0</v>
      </c>
      <c r="B1" t="s">
        <v>25</v>
      </c>
      <c r="C1" t="s">
        <v>33</v>
      </c>
    </row>
    <row r="2" spans="1:3" x14ac:dyDescent="0.25">
      <c r="A2" t="s">
        <v>32</v>
      </c>
      <c r="B2">
        <v>15</v>
      </c>
      <c r="C2" s="1" t="s">
        <v>29</v>
      </c>
    </row>
    <row r="3" spans="1:3" x14ac:dyDescent="0.25">
      <c r="A3" t="s">
        <v>26</v>
      </c>
      <c r="B3">
        <v>25</v>
      </c>
      <c r="C3" s="1" t="s">
        <v>30</v>
      </c>
    </row>
    <row r="4" spans="1:3" x14ac:dyDescent="0.25">
      <c r="A4" t="s">
        <v>27</v>
      </c>
      <c r="B4">
        <v>14</v>
      </c>
      <c r="C4" s="1" t="s">
        <v>31</v>
      </c>
    </row>
    <row r="5" spans="1:3" x14ac:dyDescent="0.25">
      <c r="A5" t="s">
        <v>28</v>
      </c>
      <c r="B5">
        <v>10</v>
      </c>
      <c r="C5" s="1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Russi</dc:creator>
  <cp:lastModifiedBy>Oscar Russi</cp:lastModifiedBy>
  <dcterms:created xsi:type="dcterms:W3CDTF">2023-06-23T12:14:19Z</dcterms:created>
  <dcterms:modified xsi:type="dcterms:W3CDTF">2023-06-25T01:07:05Z</dcterms:modified>
</cp:coreProperties>
</file>